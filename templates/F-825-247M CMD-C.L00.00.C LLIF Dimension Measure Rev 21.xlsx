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erre Penaloza\Desktop\"/>
    </mc:Choice>
  </mc:AlternateContent>
  <xr:revisionPtr revIDLastSave="0" documentId="13_ncr:1_{380A6BB8-D2D9-4869-BDE0-879265DDFC7C}" xr6:coauthVersionLast="47" xr6:coauthVersionMax="47" xr10:uidLastSave="{00000000-0000-0000-0000-000000000000}"/>
  <bookViews>
    <workbookView xWindow="57480" yWindow="-180" windowWidth="29040" windowHeight="15840" xr2:uid="{00000000-000D-0000-FFFF-FFFF00000000}"/>
  </bookViews>
  <sheets>
    <sheet name="Data Entry" sheetId="2" r:id="rId1"/>
    <sheet name="Conv Tables" sheetId="3" r:id="rId2"/>
  </sheets>
  <definedNames>
    <definedName name="_Hlk32994821" localSheetId="0">'Data Entry'!$A$27</definedName>
    <definedName name="_xlnm.Print_Area" localSheetId="0">'Data Entry'!$A$1:$Q$54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2" l="1"/>
  <c r="E29" i="2"/>
  <c r="B36" i="2"/>
  <c r="E36" i="2" s="1"/>
  <c r="B37" i="2"/>
  <c r="G37" i="2" s="1"/>
  <c r="B38" i="2"/>
  <c r="G38" i="2" s="1"/>
  <c r="C36" i="2" l="1"/>
  <c r="G36" i="2"/>
  <c r="E37" i="2"/>
  <c r="E38" i="2"/>
  <c r="C38" i="2"/>
  <c r="C37" i="2"/>
  <c r="B31" i="2"/>
  <c r="B32" i="2"/>
  <c r="C32" i="2" l="1"/>
  <c r="E32" i="2"/>
  <c r="G32" i="2"/>
  <c r="C31" i="2"/>
  <c r="E31" i="2"/>
  <c r="G31" i="2"/>
  <c r="C29" i="2"/>
  <c r="B29" i="2"/>
  <c r="B35" i="2"/>
  <c r="B34" i="2"/>
  <c r="B33" i="2"/>
  <c r="B30" i="2"/>
  <c r="C30" i="2" s="1"/>
  <c r="C34" i="2" l="1"/>
  <c r="E34" i="2"/>
  <c r="G34" i="2"/>
  <c r="C33" i="2"/>
  <c r="E33" i="2"/>
  <c r="G33" i="2"/>
  <c r="G30" i="2"/>
  <c r="E30" i="2"/>
  <c r="C35" i="2"/>
  <c r="E35" i="2"/>
  <c r="G35" i="2"/>
  <c r="A30" i="2"/>
  <c r="A31" i="2"/>
  <c r="A32" i="2"/>
  <c r="A33" i="2"/>
  <c r="A34" i="2"/>
  <c r="A35" i="2"/>
  <c r="A36" i="2"/>
  <c r="A37" i="2"/>
  <c r="A38" i="2"/>
</calcChain>
</file>

<file path=xl/sharedStrings.xml><?xml version="1.0" encoding="utf-8"?>
<sst xmlns="http://schemas.openxmlformats.org/spreadsheetml/2006/main" count="121" uniqueCount="95">
  <si>
    <t>Form/Template Revision History:</t>
  </si>
  <si>
    <t>Rev</t>
  </si>
  <si>
    <t>DCO #</t>
  </si>
  <si>
    <t>Effective Date</t>
  </si>
  <si>
    <t>Description of Change</t>
  </si>
  <si>
    <t>Line #</t>
  </si>
  <si>
    <t>Delta-to-Target "Spec" Limits (+/- mm)</t>
  </si>
  <si>
    <t>Part Number</t>
  </si>
  <si>
    <t>Dim C
Implant Height (mm)</t>
  </si>
  <si>
    <t>Dim B
AP Depth (mm)</t>
  </si>
  <si>
    <t>Dim A
ML Width (mm)</t>
  </si>
  <si>
    <t>_________________________________________________________________________________________</t>
  </si>
  <si>
    <t>Part #</t>
  </si>
  <si>
    <t>Dim C
Implant Height</t>
  </si>
  <si>
    <t>Dim B
AP Depth</t>
  </si>
  <si>
    <t>Dim A
ML Width</t>
  </si>
  <si>
    <t>G</t>
  </si>
  <si>
    <t>22-059</t>
  </si>
  <si>
    <t>Total Lot Qty</t>
  </si>
  <si>
    <t>Date Inspected</t>
  </si>
  <si>
    <t>Top Level Engineering Specification</t>
  </si>
  <si>
    <t>Customer Lot #</t>
  </si>
  <si>
    <t>Traveler #</t>
  </si>
  <si>
    <t>Notes (NCR, etc)</t>
  </si>
  <si>
    <t>23-012</t>
  </si>
  <si>
    <t>Master Job Number</t>
  </si>
  <si>
    <t>C</t>
  </si>
  <si>
    <t>D</t>
  </si>
  <si>
    <t>E</t>
  </si>
  <si>
    <t>22-018</t>
  </si>
  <si>
    <t>Removed all strut measurments, and "dimension measurment template" version cell. Edited "Top Level Engineering Spec" Title</t>
  </si>
  <si>
    <t>23-060</t>
  </si>
  <si>
    <t>LLIF Update to Rev 17; Thread dimesnion changed from M5 to M4; add M4L cage feature and inspection criteria</t>
  </si>
  <si>
    <t>F</t>
  </si>
  <si>
    <t>23-056</t>
  </si>
  <si>
    <t xml:space="preserve">Update to Rev 16, no dimensional changes. </t>
  </si>
  <si>
    <t>Update to Rev 15, no dimensional changes. Reformat form</t>
  </si>
  <si>
    <t>update to customer revision 14</t>
  </si>
  <si>
    <t>H</t>
  </si>
  <si>
    <t>24-016</t>
  </si>
  <si>
    <t>Update to Rev 18, update company to SpiTrex 3D.</t>
  </si>
  <si>
    <t>I</t>
  </si>
  <si>
    <t>24-068</t>
  </si>
  <si>
    <t>Update to Rev 19.</t>
  </si>
  <si>
    <t>C.L12.01.C</t>
  </si>
  <si>
    <t>C.L12.02.C</t>
  </si>
  <si>
    <t>C.L12.03.C</t>
  </si>
  <si>
    <t>C.L23.01.C</t>
  </si>
  <si>
    <t>C.L23.02.C</t>
  </si>
  <si>
    <t>C.L23.03.C</t>
  </si>
  <si>
    <t>C.L34.01.C</t>
  </si>
  <si>
    <t>C.L34.02.C</t>
  </si>
  <si>
    <t>C.L34.03.C</t>
  </si>
  <si>
    <t>C.L45.01.C</t>
  </si>
  <si>
    <t>C.L45.02.C</t>
  </si>
  <si>
    <t>C.L45.03.C</t>
  </si>
  <si>
    <t>C.L51.01.C</t>
  </si>
  <si>
    <t>C.L51.02.C</t>
  </si>
  <si>
    <t>C.L51.03.C</t>
  </si>
  <si>
    <t>C.L56.01.C</t>
  </si>
  <si>
    <t>C.L56.02.C</t>
  </si>
  <si>
    <t>C.L56.03.C</t>
  </si>
  <si>
    <t>C.L61.01.C</t>
  </si>
  <si>
    <t>C.L61.02.C</t>
  </si>
  <si>
    <t>C.L61.03.C</t>
  </si>
  <si>
    <t>Updated part number references to include ".C".</t>
  </si>
  <si>
    <t>24-072</t>
  </si>
  <si>
    <t>J</t>
  </si>
  <si>
    <r>
      <t xml:space="preserve">Notes: 
</t>
    </r>
    <r>
      <rPr>
        <sz val="9"/>
        <rFont val="Century Gothic"/>
        <family val="2"/>
      </rPr>
      <t>* Final Process Tolerances are 0.001" (0.03mm) tighter on each side than the drawing to compensate for any measurement variation during future measurements.
* Use Page One for data entry.  Go to the Page Two 'Conv Tables' to enter the nominal measurement dimension per CMD provided Form-019
* Record the full Part Numbers below such as C.L34.01.C, C.L45.02.C &amp; C.L51.03.C.</t>
    </r>
  </si>
  <si>
    <t>K</t>
  </si>
  <si>
    <t>25-012</t>
  </si>
  <si>
    <t>Update to drawing Rev 20 (no inspection changes).</t>
  </si>
  <si>
    <t>L</t>
  </si>
  <si>
    <t>25-056</t>
  </si>
  <si>
    <t>Update to drawing Rev 21, removal of the second signature, removal of non-critical dimensions, removal of the warning limits</t>
  </si>
  <si>
    <t xml:space="preserve">CMD C.L.00.00.C aprevo LLIF Rev21 </t>
  </si>
  <si>
    <t>M</t>
  </si>
  <si>
    <t>25-112</t>
  </si>
  <si>
    <t xml:space="preserve">Parameterize form to auto-populate Job number, Part number and quantity 
</t>
  </si>
  <si>
    <t>N/A</t>
  </si>
  <si>
    <t>{{Item 1}}</t>
  </si>
  <si>
    <t>{{Item 2}}</t>
  </si>
  <si>
    <t>{{Item 3}}</t>
  </si>
  <si>
    <t>{{Item 4}}</t>
  </si>
  <si>
    <t>{{Item 5}}</t>
  </si>
  <si>
    <t>{{Item 6}}</t>
  </si>
  <si>
    <t>{{Item 7}}</t>
  </si>
  <si>
    <t>{{Item 8}}</t>
  </si>
  <si>
    <t>{{Item 9}}</t>
  </si>
  <si>
    <t>{{Job Number}}</t>
  </si>
  <si>
    <t>{{Total Quantity}}</t>
  </si>
  <si>
    <t>{{Date}}</t>
  </si>
  <si>
    <t>{{Lot Number}}</t>
  </si>
  <si>
    <t>{{Traceler Number}}</t>
  </si>
  <si>
    <t xml:space="preserve">Inspected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</si>
</sst>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ddmmmyyyy"/>
    <numFmt numFmtId="166" formatCode="0.000"/>
  </numFmts>
  <fonts count="18" x14ac:knownFonts="1">
    <font>
      <sz val="10"/>
      <name val="Arial"/>
    </font>
    <font>
      <sz val="10"/>
      <name val="Century Gothic"/>
      <family val="2"/>
    </font>
    <font>
      <b/>
      <sz val="8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b/>
      <sz val="13"/>
      <color theme="1" tint="0.24994659260841701"/>
      <name val="Cambria"/>
      <family val="2"/>
      <scheme val="major"/>
    </font>
    <font>
      <b/>
      <sz val="13"/>
      <color theme="7"/>
      <name val="Cambria"/>
      <family val="2"/>
      <scheme val="major"/>
    </font>
    <font>
      <sz val="10"/>
      <name val="Arial"/>
      <family val="2"/>
    </font>
    <font>
      <b/>
      <sz val="10"/>
      <name val="Arial"/>
      <family val="2"/>
    </font>
    <font>
      <b/>
      <sz val="12"/>
      <color rgb="FFFF0000"/>
      <name val="Times New Roman"/>
      <family val="1"/>
    </font>
    <font>
      <b/>
      <sz val="10"/>
      <color rgb="FFFF0000"/>
      <name val="Arial"/>
      <family val="2"/>
    </font>
    <font>
      <b/>
      <sz val="13"/>
      <color theme="1" tint="0.24994659260841701"/>
      <name val="Arial"/>
      <family val="2"/>
    </font>
    <font>
      <b/>
      <sz val="13"/>
      <color theme="7"/>
      <name val="Arial"/>
      <family val="2"/>
    </font>
    <font>
      <sz val="10"/>
      <color rgb="FF0070C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color rgb="FFFF0000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 applyFill="0" applyBorder="0" applyProtection="0">
      <alignment horizontal="left"/>
    </xf>
    <xf numFmtId="9" fontId="6" fillId="0" borderId="0" applyFill="0" applyBorder="0" applyProtection="0">
      <alignment horizontal="center" vertical="center"/>
    </xf>
    <xf numFmtId="0" fontId="7" fillId="0" borderId="0"/>
  </cellStyleXfs>
  <cellXfs count="8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7" fillId="0" borderId="1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4" xfId="0" applyFont="1" applyBorder="1"/>
    <xf numFmtId="0" fontId="7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 applyAlignment="1">
      <alignment horizontal="center"/>
    </xf>
    <xf numFmtId="0" fontId="11" fillId="0" borderId="5" xfId="1" applyFont="1" applyBorder="1">
      <alignment horizontal="left"/>
    </xf>
    <xf numFmtId="0" fontId="7" fillId="0" borderId="5" xfId="0" applyFont="1" applyBorder="1" applyAlignment="1">
      <alignment horizontal="center"/>
    </xf>
    <xf numFmtId="9" fontId="12" fillId="0" borderId="0" xfId="2" applyFont="1" applyBorder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2" fontId="1" fillId="0" borderId="0" xfId="0" applyNumberFormat="1" applyFont="1"/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vertical="center"/>
    </xf>
    <xf numFmtId="2" fontId="4" fillId="0" borderId="9" xfId="0" quotePrefix="1" applyNumberFormat="1" applyFont="1" applyBorder="1" applyAlignment="1">
      <alignment horizontal="center" vertical="center"/>
    </xf>
    <xf numFmtId="2" fontId="4" fillId="0" borderId="0" xfId="0" quotePrefix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17" fillId="0" borderId="2" xfId="0" quotePrefix="1" applyNumberFormat="1" applyFont="1" applyBorder="1" applyAlignment="1">
      <alignment horizontal="center" vertical="center"/>
    </xf>
    <xf numFmtId="165" fontId="17" fillId="0" borderId="3" xfId="0" quotePrefix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4" fillId="2" borderId="1" xfId="0" quotePrefix="1" applyNumberFormat="1" applyFont="1" applyFill="1" applyBorder="1" applyAlignment="1">
      <alignment horizontal="center" vertical="center"/>
    </xf>
    <xf numFmtId="2" fontId="4" fillId="2" borderId="2" xfId="0" quotePrefix="1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2" fontId="3" fillId="2" borderId="1" xfId="0" applyNumberFormat="1" applyFont="1" applyFill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left" vertical="top" wrapText="1"/>
    </xf>
    <xf numFmtId="166" fontId="1" fillId="0" borderId="2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5" fontId="8" fillId="0" borderId="1" xfId="0" quotePrefix="1" applyNumberFormat="1" applyFont="1" applyBorder="1" applyAlignment="1">
      <alignment horizontal="center" vertical="center"/>
    </xf>
    <xf numFmtId="0" fontId="7" fillId="0" borderId="0" xfId="0" applyFont="1" applyAlignment="1">
      <alignment horizontal="left" vertical="top" wrapText="1"/>
    </xf>
    <xf numFmtId="2" fontId="3" fillId="0" borderId="1" xfId="0" applyNumberFormat="1" applyFont="1" applyBorder="1" applyAlignment="1">
      <alignment horizontal="left" vertical="top" wrapText="1"/>
    </xf>
    <xf numFmtId="2" fontId="3" fillId="0" borderId="7" xfId="0" applyNumberFormat="1" applyFont="1" applyBorder="1" applyAlignment="1">
      <alignment horizontal="left" vertical="top" wrapText="1"/>
    </xf>
    <xf numFmtId="165" fontId="7" fillId="0" borderId="1" xfId="0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65" fontId="7" fillId="0" borderId="2" xfId="0" quotePrefix="1" applyNumberFormat="1" applyFont="1" applyBorder="1" applyAlignment="1">
      <alignment horizontal="center" vertical="center"/>
    </xf>
    <xf numFmtId="165" fontId="7" fillId="0" borderId="3" xfId="0" quotePrefix="1" applyNumberFormat="1" applyFont="1" applyBorder="1" applyAlignment="1">
      <alignment horizontal="center" vertical="center"/>
    </xf>
    <xf numFmtId="165" fontId="7" fillId="4" borderId="2" xfId="0" quotePrefix="1" applyNumberFormat="1" applyFont="1" applyFill="1" applyBorder="1" applyAlignment="1">
      <alignment horizontal="center" vertical="center"/>
    </xf>
    <xf numFmtId="165" fontId="7" fillId="4" borderId="3" xfId="0" quotePrefix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165" fontId="7" fillId="0" borderId="3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vertical="center" wrapText="1"/>
    </xf>
    <xf numFmtId="0" fontId="17" fillId="0" borderId="10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</cellXfs>
  <cellStyles count="4">
    <cellStyle name="Activity" xfId="1" xr:uid="{00000000-0005-0000-0000-000000000000}"/>
    <cellStyle name="Normal" xfId="0" builtinId="0"/>
    <cellStyle name="Normal 2" xfId="3" xr:uid="{00000000-0005-0000-0000-000002000000}"/>
    <cellStyle name="Percent Complete" xfId="2" xr:uid="{00000000-0005-0000-0000-000003000000}"/>
  </cellStyles>
  <dxfs count="8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24047-66BC-4595-9419-E1CF89BDCD35}">
  <sheetPr>
    <pageSetUpPr fitToPage="1"/>
  </sheetPr>
  <dimension ref="A2:P61"/>
  <sheetViews>
    <sheetView showGridLines="0" tabSelected="1" view="pageLayout" zoomScale="130" zoomScaleNormal="100" zoomScaleSheetLayoutView="85" zoomScalePageLayoutView="130" workbookViewId="0">
      <selection activeCell="E50" sqref="E50:H50"/>
    </sheetView>
  </sheetViews>
  <sheetFormatPr defaultColWidth="9.140625" defaultRowHeight="13.5" x14ac:dyDescent="0.25"/>
  <cols>
    <col min="1" max="1" width="11.28515625" style="1" customWidth="1"/>
    <col min="2" max="2" width="13" style="2" customWidth="1"/>
    <col min="3" max="3" width="9.7109375" style="1" bestFit="1" customWidth="1"/>
    <col min="4" max="4" width="10.28515625" style="1" customWidth="1"/>
    <col min="5" max="5" width="11" style="1" customWidth="1"/>
    <col min="6" max="6" width="12" style="1" customWidth="1"/>
    <col min="7" max="7" width="9.140625" style="1"/>
    <col min="8" max="8" width="8.28515625" style="1" customWidth="1"/>
    <col min="9" max="10" width="11.28515625" style="1" customWidth="1"/>
    <col min="11" max="13" width="9.140625" style="1"/>
    <col min="14" max="14" width="4.5703125" style="1" customWidth="1"/>
    <col min="15" max="16384" width="9.140625" style="1"/>
  </cols>
  <sheetData>
    <row r="2" spans="1:16" ht="25.5" x14ac:dyDescent="0.25">
      <c r="A2" s="49" t="s">
        <v>25</v>
      </c>
      <c r="B2" s="49"/>
      <c r="C2" s="44" t="s">
        <v>89</v>
      </c>
      <c r="D2" s="44"/>
      <c r="E2" s="23" t="s">
        <v>18</v>
      </c>
      <c r="F2" s="37" t="s">
        <v>90</v>
      </c>
      <c r="G2" s="49" t="s">
        <v>19</v>
      </c>
      <c r="H2" s="49"/>
      <c r="I2" s="50" t="s">
        <v>91</v>
      </c>
      <c r="J2" s="50"/>
      <c r="K2" s="51" t="s">
        <v>20</v>
      </c>
      <c r="L2" s="51"/>
      <c r="M2" s="52" t="s">
        <v>75</v>
      </c>
      <c r="N2" s="52"/>
      <c r="O2" s="52"/>
      <c r="P2" s="52"/>
    </row>
    <row r="3" spans="1:16" x14ac:dyDescent="0.25">
      <c r="A3" s="53" t="s">
        <v>7</v>
      </c>
      <c r="B3" s="53"/>
      <c r="C3" s="53"/>
      <c r="D3" s="53"/>
      <c r="E3" s="53" t="s">
        <v>22</v>
      </c>
      <c r="F3" s="53"/>
      <c r="G3" s="53" t="s">
        <v>21</v>
      </c>
      <c r="H3" s="53"/>
      <c r="I3" s="53" t="s">
        <v>23</v>
      </c>
      <c r="J3" s="53"/>
      <c r="K3" s="53"/>
      <c r="L3" s="53"/>
      <c r="M3" s="53"/>
      <c r="N3" s="53"/>
      <c r="O3" s="53"/>
      <c r="P3" s="53"/>
    </row>
    <row r="4" spans="1:16" x14ac:dyDescent="0.25">
      <c r="A4" s="44" t="s">
        <v>80</v>
      </c>
      <c r="B4" s="44"/>
      <c r="C4" s="44"/>
      <c r="D4" s="44"/>
      <c r="E4" s="45" t="s">
        <v>93</v>
      </c>
      <c r="F4" s="45"/>
      <c r="G4" s="44" t="s">
        <v>92</v>
      </c>
      <c r="H4" s="44"/>
      <c r="I4" s="39" t="s">
        <v>79</v>
      </c>
      <c r="J4" s="40"/>
      <c r="K4" s="40"/>
      <c r="L4" s="40"/>
      <c r="M4" s="40"/>
      <c r="N4" s="40"/>
      <c r="O4" s="40"/>
      <c r="P4" s="41"/>
    </row>
    <row r="5" spans="1:16" x14ac:dyDescent="0.25">
      <c r="A5" s="44" t="s">
        <v>81</v>
      </c>
      <c r="B5" s="44"/>
      <c r="C5" s="44"/>
      <c r="D5" s="44"/>
      <c r="E5" s="45" t="s">
        <v>93</v>
      </c>
      <c r="F5" s="45"/>
      <c r="G5" s="44" t="s">
        <v>92</v>
      </c>
      <c r="H5" s="44"/>
      <c r="I5" s="39" t="s">
        <v>79</v>
      </c>
      <c r="J5" s="40"/>
      <c r="K5" s="40"/>
      <c r="L5" s="40"/>
      <c r="M5" s="40"/>
      <c r="N5" s="40"/>
      <c r="O5" s="40"/>
      <c r="P5" s="41"/>
    </row>
    <row r="6" spans="1:16" x14ac:dyDescent="0.25">
      <c r="A6" s="44" t="s">
        <v>82</v>
      </c>
      <c r="B6" s="44"/>
      <c r="C6" s="44"/>
      <c r="D6" s="44"/>
      <c r="E6" s="45" t="s">
        <v>93</v>
      </c>
      <c r="F6" s="45"/>
      <c r="G6" s="44" t="s">
        <v>92</v>
      </c>
      <c r="H6" s="44"/>
      <c r="I6" s="39" t="s">
        <v>79</v>
      </c>
      <c r="J6" s="40"/>
      <c r="K6" s="40"/>
      <c r="L6" s="40"/>
      <c r="M6" s="40"/>
      <c r="N6" s="40"/>
      <c r="O6" s="40"/>
      <c r="P6" s="41"/>
    </row>
    <row r="7" spans="1:16" x14ac:dyDescent="0.25">
      <c r="A7" s="44" t="s">
        <v>83</v>
      </c>
      <c r="B7" s="44"/>
      <c r="C7" s="44"/>
      <c r="D7" s="44"/>
      <c r="E7" s="45" t="s">
        <v>93</v>
      </c>
      <c r="F7" s="45"/>
      <c r="G7" s="44" t="s">
        <v>92</v>
      </c>
      <c r="H7" s="44"/>
      <c r="I7" s="39" t="s">
        <v>79</v>
      </c>
      <c r="J7" s="40"/>
      <c r="K7" s="40"/>
      <c r="L7" s="40"/>
      <c r="M7" s="40"/>
      <c r="N7" s="40"/>
      <c r="O7" s="40"/>
      <c r="P7" s="41"/>
    </row>
    <row r="8" spans="1:16" x14ac:dyDescent="0.25">
      <c r="A8" s="44" t="s">
        <v>84</v>
      </c>
      <c r="B8" s="44"/>
      <c r="C8" s="44"/>
      <c r="D8" s="44"/>
      <c r="E8" s="45" t="s">
        <v>93</v>
      </c>
      <c r="F8" s="45"/>
      <c r="G8" s="44" t="s">
        <v>92</v>
      </c>
      <c r="H8" s="44"/>
      <c r="I8" s="39" t="s">
        <v>79</v>
      </c>
      <c r="J8" s="40"/>
      <c r="K8" s="40"/>
      <c r="L8" s="40"/>
      <c r="M8" s="40"/>
      <c r="N8" s="40"/>
      <c r="O8" s="40"/>
      <c r="P8" s="41"/>
    </row>
    <row r="9" spans="1:16" x14ac:dyDescent="0.25">
      <c r="A9" s="44" t="s">
        <v>85</v>
      </c>
      <c r="B9" s="44"/>
      <c r="C9" s="44"/>
      <c r="D9" s="44"/>
      <c r="E9" s="45" t="s">
        <v>93</v>
      </c>
      <c r="F9" s="45"/>
      <c r="G9" s="44" t="s">
        <v>92</v>
      </c>
      <c r="H9" s="44"/>
      <c r="I9" s="39" t="s">
        <v>79</v>
      </c>
      <c r="J9" s="40"/>
      <c r="K9" s="40"/>
      <c r="L9" s="40"/>
      <c r="M9" s="40"/>
      <c r="N9" s="40"/>
      <c r="O9" s="40"/>
      <c r="P9" s="41"/>
    </row>
    <row r="10" spans="1:16" x14ac:dyDescent="0.25">
      <c r="A10" s="44" t="s">
        <v>86</v>
      </c>
      <c r="B10" s="44"/>
      <c r="C10" s="44"/>
      <c r="D10" s="44"/>
      <c r="E10" s="45" t="s">
        <v>93</v>
      </c>
      <c r="F10" s="45"/>
      <c r="G10" s="44" t="s">
        <v>92</v>
      </c>
      <c r="H10" s="44"/>
      <c r="I10" s="39" t="s">
        <v>79</v>
      </c>
      <c r="J10" s="40"/>
      <c r="K10" s="40"/>
      <c r="L10" s="40"/>
      <c r="M10" s="40"/>
      <c r="N10" s="40"/>
      <c r="O10" s="40"/>
      <c r="P10" s="41"/>
    </row>
    <row r="11" spans="1:16" x14ac:dyDescent="0.25">
      <c r="A11" s="44" t="s">
        <v>87</v>
      </c>
      <c r="B11" s="44"/>
      <c r="C11" s="44"/>
      <c r="D11" s="44"/>
      <c r="E11" s="45" t="s">
        <v>93</v>
      </c>
      <c r="F11" s="45"/>
      <c r="G11" s="44" t="s">
        <v>92</v>
      </c>
      <c r="H11" s="44"/>
      <c r="I11" s="39" t="s">
        <v>79</v>
      </c>
      <c r="J11" s="40"/>
      <c r="K11" s="40"/>
      <c r="L11" s="40"/>
      <c r="M11" s="40"/>
      <c r="N11" s="40"/>
      <c r="O11" s="40"/>
      <c r="P11" s="41"/>
    </row>
    <row r="12" spans="1:16" x14ac:dyDescent="0.25">
      <c r="A12" s="44" t="s">
        <v>88</v>
      </c>
      <c r="B12" s="44"/>
      <c r="C12" s="44"/>
      <c r="D12" s="44"/>
      <c r="E12" s="45" t="s">
        <v>93</v>
      </c>
      <c r="F12" s="45"/>
      <c r="G12" s="44" t="s">
        <v>92</v>
      </c>
      <c r="H12" s="44"/>
      <c r="I12" s="39" t="s">
        <v>79</v>
      </c>
      <c r="J12" s="40"/>
      <c r="K12" s="40"/>
      <c r="L12" s="40"/>
      <c r="M12" s="40"/>
      <c r="N12" s="40"/>
      <c r="O12" s="40"/>
      <c r="P12" s="41"/>
    </row>
    <row r="13" spans="1:16" x14ac:dyDescent="0.25">
      <c r="A13" s="2"/>
      <c r="C13" s="2"/>
      <c r="D13" s="2"/>
      <c r="E13" s="2"/>
      <c r="F13" s="2"/>
      <c r="G13" s="2"/>
      <c r="H13" s="2"/>
      <c r="I13" s="2"/>
      <c r="J13" s="2"/>
    </row>
    <row r="14" spans="1:16" ht="108" customHeight="1" x14ac:dyDescent="0.25">
      <c r="A14" s="68" t="s">
        <v>68</v>
      </c>
      <c r="B14" s="68"/>
      <c r="C14" s="68"/>
      <c r="D14" s="68"/>
      <c r="E14" s="68"/>
      <c r="F14" s="68"/>
      <c r="G14" s="68"/>
      <c r="H14" s="68"/>
      <c r="I14" s="69"/>
      <c r="J14" s="69"/>
    </row>
    <row r="15" spans="1:16" ht="53.25" customHeight="1" x14ac:dyDescent="0.25">
      <c r="A15" s="22" t="s">
        <v>5</v>
      </c>
      <c r="B15" s="22" t="s">
        <v>7</v>
      </c>
      <c r="C15" s="64" t="s">
        <v>8</v>
      </c>
      <c r="D15" s="65"/>
      <c r="E15" s="64" t="s">
        <v>9</v>
      </c>
      <c r="F15" s="65"/>
      <c r="G15" s="57" t="s">
        <v>10</v>
      </c>
      <c r="H15" s="63"/>
      <c r="I15" s="26"/>
      <c r="J15" s="25"/>
    </row>
    <row r="16" spans="1:16" ht="16.899999999999999" customHeight="1" x14ac:dyDescent="0.25">
      <c r="A16" s="4">
        <v>1</v>
      </c>
      <c r="B16" s="7"/>
      <c r="C16" s="61"/>
      <c r="D16" s="62"/>
      <c r="E16" s="58"/>
      <c r="F16" s="59"/>
      <c r="G16" s="58"/>
      <c r="H16" s="59"/>
      <c r="I16" s="27"/>
      <c r="J16" s="24"/>
    </row>
    <row r="17" spans="1:10" ht="16.899999999999999" customHeight="1" x14ac:dyDescent="0.25">
      <c r="A17" s="4">
        <v>2</v>
      </c>
      <c r="B17" s="7"/>
      <c r="C17" s="61"/>
      <c r="D17" s="62"/>
      <c r="E17" s="58"/>
      <c r="F17" s="59"/>
      <c r="G17" s="58"/>
      <c r="H17" s="59"/>
      <c r="I17" s="27"/>
      <c r="J17" s="24"/>
    </row>
    <row r="18" spans="1:10" ht="16.899999999999999" customHeight="1" x14ac:dyDescent="0.25">
      <c r="A18" s="4">
        <v>3</v>
      </c>
      <c r="B18" s="7"/>
      <c r="C18" s="61"/>
      <c r="D18" s="62"/>
      <c r="E18" s="58"/>
      <c r="F18" s="59"/>
      <c r="G18" s="58"/>
      <c r="H18" s="59"/>
      <c r="I18" s="27"/>
      <c r="J18" s="24"/>
    </row>
    <row r="19" spans="1:10" ht="16.899999999999999" customHeight="1" x14ac:dyDescent="0.25">
      <c r="A19" s="4">
        <v>4</v>
      </c>
      <c r="B19" s="7"/>
      <c r="C19" s="61"/>
      <c r="D19" s="62"/>
      <c r="E19" s="58"/>
      <c r="F19" s="59"/>
      <c r="G19" s="58"/>
      <c r="H19" s="59"/>
      <c r="I19" s="27"/>
      <c r="J19" s="24"/>
    </row>
    <row r="20" spans="1:10" ht="16.899999999999999" customHeight="1" x14ac:dyDescent="0.25">
      <c r="A20" s="4">
        <v>5</v>
      </c>
      <c r="B20" s="7"/>
      <c r="C20" s="61"/>
      <c r="D20" s="62"/>
      <c r="E20" s="58"/>
      <c r="F20" s="59"/>
      <c r="G20" s="58"/>
      <c r="H20" s="59"/>
      <c r="I20" s="27"/>
      <c r="J20" s="24"/>
    </row>
    <row r="21" spans="1:10" ht="16.899999999999999" customHeight="1" x14ac:dyDescent="0.25">
      <c r="A21" s="4">
        <v>6</v>
      </c>
      <c r="B21" s="7"/>
      <c r="C21" s="61"/>
      <c r="D21" s="62"/>
      <c r="E21" s="58"/>
      <c r="F21" s="59"/>
      <c r="G21" s="58"/>
      <c r="H21" s="59"/>
      <c r="I21" s="27"/>
      <c r="J21" s="24"/>
    </row>
    <row r="22" spans="1:10" ht="16.899999999999999" customHeight="1" x14ac:dyDescent="0.25">
      <c r="A22" s="4">
        <v>7</v>
      </c>
      <c r="B22" s="7"/>
      <c r="C22" s="61"/>
      <c r="D22" s="62"/>
      <c r="E22" s="58"/>
      <c r="F22" s="59"/>
      <c r="G22" s="58"/>
      <c r="H22" s="59"/>
      <c r="I22" s="27"/>
      <c r="J22" s="24"/>
    </row>
    <row r="23" spans="1:10" ht="16.899999999999999" customHeight="1" x14ac:dyDescent="0.25">
      <c r="A23" s="4">
        <v>8</v>
      </c>
      <c r="B23" s="7"/>
      <c r="C23" s="61"/>
      <c r="D23" s="62"/>
      <c r="E23" s="58"/>
      <c r="F23" s="59"/>
      <c r="G23" s="58"/>
      <c r="H23" s="59"/>
      <c r="I23" s="27"/>
      <c r="J23" s="24"/>
    </row>
    <row r="24" spans="1:10" ht="16.899999999999999" customHeight="1" x14ac:dyDescent="0.25">
      <c r="A24" s="4">
        <v>9</v>
      </c>
      <c r="B24" s="7"/>
      <c r="C24" s="61"/>
      <c r="D24" s="62"/>
      <c r="E24" s="58"/>
      <c r="F24" s="59"/>
      <c r="G24" s="58"/>
      <c r="H24" s="59"/>
      <c r="I24" s="27"/>
      <c r="J24" s="24"/>
    </row>
    <row r="25" spans="1:10" x14ac:dyDescent="0.25">
      <c r="A25" s="60"/>
      <c r="B25" s="60"/>
      <c r="C25" s="60"/>
      <c r="D25" s="60"/>
      <c r="E25" s="8"/>
    </row>
    <row r="26" spans="1:10" x14ac:dyDescent="0.25">
      <c r="A26" s="9"/>
      <c r="B26" s="9"/>
      <c r="C26" s="9"/>
      <c r="D26" s="9"/>
      <c r="E26" s="8"/>
    </row>
    <row r="27" spans="1:10" ht="15.75" x14ac:dyDescent="0.25">
      <c r="A27" s="54"/>
      <c r="B27" s="54"/>
      <c r="C27" s="54"/>
      <c r="D27" s="54"/>
      <c r="E27" s="54"/>
      <c r="F27" s="54"/>
      <c r="G27" s="54"/>
      <c r="H27" s="54"/>
    </row>
    <row r="28" spans="1:10" ht="39.75" customHeight="1" x14ac:dyDescent="0.25">
      <c r="A28" s="55" t="s">
        <v>6</v>
      </c>
      <c r="B28" s="55"/>
      <c r="C28" s="47">
        <v>0.5</v>
      </c>
      <c r="D28" s="47"/>
      <c r="E28" s="47">
        <v>0.5</v>
      </c>
      <c r="F28" s="47"/>
      <c r="G28" s="47">
        <v>0.5</v>
      </c>
      <c r="H28" s="48"/>
      <c r="I28" s="28"/>
      <c r="J28" s="29"/>
    </row>
    <row r="29" spans="1:10" ht="36" customHeight="1" x14ac:dyDescent="0.25">
      <c r="A29" s="20" t="s">
        <v>5</v>
      </c>
      <c r="B29" s="20" t="str">
        <f t="shared" ref="B29:C29" si="0">B15</f>
        <v>Part Number</v>
      </c>
      <c r="C29" s="56" t="str">
        <f t="shared" si="0"/>
        <v>Dim C
Implant Height (mm)</v>
      </c>
      <c r="D29" s="56"/>
      <c r="E29" s="56" t="str">
        <f>E15</f>
        <v>Dim B
AP Depth (mm)</v>
      </c>
      <c r="F29" s="56"/>
      <c r="G29" s="57" t="str">
        <f>G15</f>
        <v>Dim A
ML Width (mm)</v>
      </c>
      <c r="H29" s="57"/>
      <c r="I29" s="32"/>
      <c r="J29" s="30"/>
    </row>
    <row r="30" spans="1:10" ht="16.149999999999999" customHeight="1" x14ac:dyDescent="0.25">
      <c r="A30" s="4">
        <f>'Data Entry'!A16</f>
        <v>1</v>
      </c>
      <c r="B30" s="38">
        <f>'Data Entry'!B16</f>
        <v>0</v>
      </c>
      <c r="C30" s="46" t="e">
        <f>ROUND(-VLOOKUP($B30,'Conv Tables'!$B$2:$E$23,2,FALSE)+C16,2)</f>
        <v>#N/A</v>
      </c>
      <c r="D30" s="46"/>
      <c r="E30" s="46" t="e">
        <f>ROUND(-VLOOKUP($B30,'Conv Tables'!$B$2:$E$23,3,FALSE)+E16,2)</f>
        <v>#N/A</v>
      </c>
      <c r="F30" s="46"/>
      <c r="G30" s="46" t="e">
        <f>ROUND(-VLOOKUP($B30,'Conv Tables'!$B$2:$E$23,4,FALSE)+G16,2)</f>
        <v>#N/A</v>
      </c>
      <c r="H30" s="46"/>
      <c r="I30" s="33"/>
      <c r="J30" s="31"/>
    </row>
    <row r="31" spans="1:10" ht="16.149999999999999" customHeight="1" x14ac:dyDescent="0.25">
      <c r="A31" s="4">
        <f>'Data Entry'!A17</f>
        <v>2</v>
      </c>
      <c r="B31" s="38">
        <f>'Data Entry'!B17</f>
        <v>0</v>
      </c>
      <c r="C31" s="46" t="e">
        <f>ROUND(-VLOOKUP($B31,'Conv Tables'!$B$2:$E$23,2,FALSE)+C17,2)</f>
        <v>#N/A</v>
      </c>
      <c r="D31" s="46"/>
      <c r="E31" s="46" t="e">
        <f>ROUND(-VLOOKUP($B31,'Conv Tables'!$B$2:$E$23,3,FALSE)+E17,2)</f>
        <v>#N/A</v>
      </c>
      <c r="F31" s="46"/>
      <c r="G31" s="46" t="e">
        <f>ROUND(-VLOOKUP($B31,'Conv Tables'!$B$2:$E$23,4,FALSE)+G17,2)</f>
        <v>#N/A</v>
      </c>
      <c r="H31" s="46"/>
      <c r="I31" s="33"/>
      <c r="J31" s="31"/>
    </row>
    <row r="32" spans="1:10" ht="16.149999999999999" customHeight="1" x14ac:dyDescent="0.25">
      <c r="A32" s="4">
        <f>'Data Entry'!A18</f>
        <v>3</v>
      </c>
      <c r="B32" s="38">
        <f>'Data Entry'!B18</f>
        <v>0</v>
      </c>
      <c r="C32" s="46" t="e">
        <f>ROUND(-VLOOKUP($B32,'Conv Tables'!$B$2:$E$23,2,FALSE)+C18,2)</f>
        <v>#N/A</v>
      </c>
      <c r="D32" s="46"/>
      <c r="E32" s="46" t="e">
        <f>ROUND(-VLOOKUP($B32,'Conv Tables'!$B$2:$E$23,3,FALSE)+E18,2)</f>
        <v>#N/A</v>
      </c>
      <c r="F32" s="46"/>
      <c r="G32" s="46" t="e">
        <f>ROUND(-VLOOKUP($B32,'Conv Tables'!$B$2:$E$23,4,FALSE)+G18,2)</f>
        <v>#N/A</v>
      </c>
      <c r="H32" s="46"/>
      <c r="I32" s="33"/>
      <c r="J32" s="31"/>
    </row>
    <row r="33" spans="1:10" ht="16.149999999999999" customHeight="1" x14ac:dyDescent="0.25">
      <c r="A33" s="4">
        <f>'Data Entry'!A19</f>
        <v>4</v>
      </c>
      <c r="B33" s="38">
        <f>'Data Entry'!B19</f>
        <v>0</v>
      </c>
      <c r="C33" s="46" t="e">
        <f>ROUND(-VLOOKUP($B33,'Conv Tables'!$B$2:$E$23,2,FALSE)+C19,2)</f>
        <v>#N/A</v>
      </c>
      <c r="D33" s="46"/>
      <c r="E33" s="46" t="e">
        <f>ROUND(-VLOOKUP($B33,'Conv Tables'!$B$2:$E$23,3,FALSE)+E19,2)</f>
        <v>#N/A</v>
      </c>
      <c r="F33" s="46"/>
      <c r="G33" s="46" t="e">
        <f>ROUND(-VLOOKUP($B33,'Conv Tables'!$B$2:$E$23,4,FALSE)+G19,2)</f>
        <v>#N/A</v>
      </c>
      <c r="H33" s="46"/>
      <c r="I33" s="33"/>
      <c r="J33" s="31"/>
    </row>
    <row r="34" spans="1:10" ht="16.149999999999999" customHeight="1" x14ac:dyDescent="0.25">
      <c r="A34" s="4">
        <f>'Data Entry'!A20</f>
        <v>5</v>
      </c>
      <c r="B34" s="38">
        <f>'Data Entry'!B20</f>
        <v>0</v>
      </c>
      <c r="C34" s="46" t="e">
        <f>ROUND(-VLOOKUP($B34,'Conv Tables'!$B$2:$E$23,2,FALSE)+C20,2)</f>
        <v>#N/A</v>
      </c>
      <c r="D34" s="46"/>
      <c r="E34" s="46" t="e">
        <f>ROUND(-VLOOKUP($B34,'Conv Tables'!$B$2:$E$23,3,FALSE)+E20,2)</f>
        <v>#N/A</v>
      </c>
      <c r="F34" s="46"/>
      <c r="G34" s="46" t="e">
        <f>ROUND(-VLOOKUP($B34,'Conv Tables'!$B$2:$E$23,4,FALSE)+G20,2)</f>
        <v>#N/A</v>
      </c>
      <c r="H34" s="46"/>
      <c r="I34" s="33"/>
      <c r="J34" s="31"/>
    </row>
    <row r="35" spans="1:10" ht="16.149999999999999" customHeight="1" x14ac:dyDescent="0.25">
      <c r="A35" s="4">
        <f>'Data Entry'!A21</f>
        <v>6</v>
      </c>
      <c r="B35" s="38">
        <f>'Data Entry'!B21</f>
        <v>0</v>
      </c>
      <c r="C35" s="46" t="e">
        <f>ROUND(-VLOOKUP($B35,'Conv Tables'!$B$2:$E$23,2,FALSE)+C21,2)</f>
        <v>#N/A</v>
      </c>
      <c r="D35" s="46"/>
      <c r="E35" s="46" t="e">
        <f>ROUND(-VLOOKUP($B35,'Conv Tables'!$B$2:$E$23,3,FALSE)+E21,2)</f>
        <v>#N/A</v>
      </c>
      <c r="F35" s="46"/>
      <c r="G35" s="46" t="e">
        <f>ROUND(-VLOOKUP($B35,'Conv Tables'!$B$2:$E$23,4,FALSE)+G21,2)</f>
        <v>#N/A</v>
      </c>
      <c r="H35" s="46"/>
      <c r="I35" s="33"/>
      <c r="J35" s="31"/>
    </row>
    <row r="36" spans="1:10" ht="16.149999999999999" customHeight="1" x14ac:dyDescent="0.25">
      <c r="A36" s="4">
        <f>'Data Entry'!A22</f>
        <v>7</v>
      </c>
      <c r="B36" s="38">
        <f>'Data Entry'!B22</f>
        <v>0</v>
      </c>
      <c r="C36" s="46" t="e">
        <f>ROUND(-VLOOKUP($B36,'Conv Tables'!$B$2:$E$23,2,FALSE)+C22,2)</f>
        <v>#N/A</v>
      </c>
      <c r="D36" s="46"/>
      <c r="E36" s="46" t="e">
        <f>ROUND(-VLOOKUP($B36,'Conv Tables'!$B$2:$E$23,3,FALSE)+E22,2)</f>
        <v>#N/A</v>
      </c>
      <c r="F36" s="46"/>
      <c r="G36" s="46" t="e">
        <f>ROUND(-VLOOKUP($B36,'Conv Tables'!$B$2:$E$23,4,FALSE)+G22,2)</f>
        <v>#N/A</v>
      </c>
      <c r="H36" s="46"/>
      <c r="I36" s="33"/>
      <c r="J36" s="31"/>
    </row>
    <row r="37" spans="1:10" ht="16.149999999999999" customHeight="1" x14ac:dyDescent="0.25">
      <c r="A37" s="4">
        <f>'Data Entry'!A23</f>
        <v>8</v>
      </c>
      <c r="B37" s="38">
        <f>'Data Entry'!B23</f>
        <v>0</v>
      </c>
      <c r="C37" s="46" t="e">
        <f>ROUND(-VLOOKUP($B37,'Conv Tables'!$B$2:$E$23,2,FALSE)+C23,2)</f>
        <v>#N/A</v>
      </c>
      <c r="D37" s="46"/>
      <c r="E37" s="46" t="e">
        <f>ROUND(-VLOOKUP($B37,'Conv Tables'!$B$2:$E$23,3,FALSE)+E23,2)</f>
        <v>#N/A</v>
      </c>
      <c r="F37" s="46"/>
      <c r="G37" s="46" t="e">
        <f>ROUND(-VLOOKUP($B37,'Conv Tables'!$B$2:$E$23,4,FALSE)+G23,2)</f>
        <v>#N/A</v>
      </c>
      <c r="H37" s="46"/>
      <c r="I37" s="33"/>
      <c r="J37" s="31"/>
    </row>
    <row r="38" spans="1:10" ht="16.149999999999999" customHeight="1" x14ac:dyDescent="0.25">
      <c r="A38" s="4">
        <f>'Data Entry'!A24</f>
        <v>9</v>
      </c>
      <c r="B38" s="38">
        <f>'Data Entry'!B24</f>
        <v>0</v>
      </c>
      <c r="C38" s="46" t="e">
        <f>ROUND(-VLOOKUP($B38,'Conv Tables'!$B$2:$E$23,2,FALSE)+C24,2)</f>
        <v>#N/A</v>
      </c>
      <c r="D38" s="46"/>
      <c r="E38" s="46" t="e">
        <f>ROUND(-VLOOKUP($B38,'Conv Tables'!$B$2:$E$23,3,FALSE)+E24,2)</f>
        <v>#N/A</v>
      </c>
      <c r="F38" s="46"/>
      <c r="G38" s="46" t="e">
        <f>ROUND(-VLOOKUP($B38,'Conv Tables'!$B$2:$E$23,4,FALSE)+G24,2)</f>
        <v>#N/A</v>
      </c>
      <c r="H38" s="46"/>
      <c r="I38" s="33"/>
      <c r="J38" s="31"/>
    </row>
    <row r="39" spans="1:10" ht="78" customHeight="1" x14ac:dyDescent="0.25">
      <c r="A39" s="11" t="s">
        <v>11</v>
      </c>
      <c r="B39" s="16"/>
      <c r="C39" s="12"/>
      <c r="D39" s="12"/>
      <c r="E39" s="12"/>
      <c r="F39" s="12"/>
    </row>
    <row r="40" spans="1:10" x14ac:dyDescent="0.25">
      <c r="A40" s="67" t="s">
        <v>94</v>
      </c>
      <c r="B40" s="67"/>
      <c r="C40" s="67"/>
      <c r="D40" s="67"/>
      <c r="E40" s="67"/>
      <c r="F40" s="67"/>
    </row>
    <row r="41" spans="1:10" ht="25.5" customHeight="1" x14ac:dyDescent="0.25">
      <c r="A41" s="10"/>
      <c r="B41" s="10"/>
      <c r="C41" s="10"/>
      <c r="D41" s="10"/>
      <c r="E41" s="10"/>
      <c r="F41" s="10"/>
      <c r="G41" s="10"/>
    </row>
    <row r="42" spans="1:10" ht="16.5" x14ac:dyDescent="0.25">
      <c r="A42" s="17" t="s">
        <v>0</v>
      </c>
      <c r="B42" s="18"/>
      <c r="C42" s="18"/>
      <c r="D42" s="18"/>
      <c r="E42" s="19"/>
      <c r="F42" s="12"/>
    </row>
    <row r="43" spans="1:10" x14ac:dyDescent="0.25">
      <c r="A43" s="3" t="s">
        <v>1</v>
      </c>
      <c r="B43" s="3" t="s">
        <v>2</v>
      </c>
      <c r="C43" s="66" t="s">
        <v>3</v>
      </c>
      <c r="D43" s="66"/>
      <c r="E43" s="72" t="s">
        <v>4</v>
      </c>
      <c r="F43" s="72"/>
      <c r="G43" s="72"/>
      <c r="H43" s="72"/>
    </row>
    <row r="44" spans="1:10" ht="42.75" customHeight="1" x14ac:dyDescent="0.25">
      <c r="A44" s="36" t="s">
        <v>76</v>
      </c>
      <c r="B44" s="36" t="s">
        <v>77</v>
      </c>
      <c r="C44" s="42">
        <v>45915</v>
      </c>
      <c r="D44" s="43"/>
      <c r="E44" s="79" t="s">
        <v>78</v>
      </c>
      <c r="F44" s="80"/>
      <c r="G44" s="80"/>
      <c r="H44" s="81"/>
      <c r="I44" s="35"/>
      <c r="J44" s="35"/>
    </row>
    <row r="45" spans="1:10" ht="52.5" customHeight="1" x14ac:dyDescent="0.25">
      <c r="A45" s="5" t="s">
        <v>72</v>
      </c>
      <c r="B45" s="5" t="s">
        <v>73</v>
      </c>
      <c r="C45" s="73">
        <v>45799</v>
      </c>
      <c r="D45" s="78"/>
      <c r="E45" s="71" t="s">
        <v>74</v>
      </c>
      <c r="F45" s="71"/>
      <c r="G45" s="71"/>
      <c r="H45" s="71"/>
    </row>
    <row r="46" spans="1:10" ht="25.5" customHeight="1" x14ac:dyDescent="0.25">
      <c r="A46" s="34" t="s">
        <v>69</v>
      </c>
      <c r="B46" s="34" t="s">
        <v>70</v>
      </c>
      <c r="C46" s="75">
        <v>45688</v>
      </c>
      <c r="D46" s="76"/>
      <c r="E46" s="77" t="s">
        <v>71</v>
      </c>
      <c r="F46" s="77"/>
      <c r="G46" s="77"/>
      <c r="H46" s="77"/>
    </row>
    <row r="47" spans="1:10" x14ac:dyDescent="0.25">
      <c r="A47" s="34" t="s">
        <v>67</v>
      </c>
      <c r="B47" s="34" t="s">
        <v>66</v>
      </c>
      <c r="C47" s="75">
        <v>45593</v>
      </c>
      <c r="D47" s="76"/>
      <c r="E47" s="77" t="s">
        <v>65</v>
      </c>
      <c r="F47" s="77"/>
      <c r="G47" s="77"/>
      <c r="H47" s="77"/>
    </row>
    <row r="48" spans="1:10" x14ac:dyDescent="0.25">
      <c r="A48" s="34" t="s">
        <v>41</v>
      </c>
      <c r="B48" s="34" t="s">
        <v>42</v>
      </c>
      <c r="C48" s="75">
        <v>45582</v>
      </c>
      <c r="D48" s="76"/>
      <c r="E48" s="77" t="s">
        <v>43</v>
      </c>
      <c r="F48" s="77"/>
      <c r="G48" s="77"/>
      <c r="H48" s="77"/>
    </row>
    <row r="49" spans="1:8" x14ac:dyDescent="0.25">
      <c r="A49" s="34" t="s">
        <v>38</v>
      </c>
      <c r="B49" s="34" t="s">
        <v>39</v>
      </c>
      <c r="C49" s="75">
        <v>45365</v>
      </c>
      <c r="D49" s="76"/>
      <c r="E49" s="77" t="s">
        <v>40</v>
      </c>
      <c r="F49" s="77"/>
      <c r="G49" s="77"/>
      <c r="H49" s="77"/>
    </row>
    <row r="50" spans="1:8" ht="43.5" customHeight="1" x14ac:dyDescent="0.25">
      <c r="A50" s="5" t="s">
        <v>16</v>
      </c>
      <c r="B50" s="5" t="s">
        <v>31</v>
      </c>
      <c r="C50" s="73">
        <v>45148</v>
      </c>
      <c r="D50" s="74"/>
      <c r="E50" s="71" t="s">
        <v>32</v>
      </c>
      <c r="F50" s="71"/>
      <c r="G50" s="71"/>
      <c r="H50" s="71"/>
    </row>
    <row r="51" spans="1:8" ht="21" customHeight="1" x14ac:dyDescent="0.25">
      <c r="A51" s="5" t="s">
        <v>33</v>
      </c>
      <c r="B51" s="5" t="s">
        <v>34</v>
      </c>
      <c r="C51" s="73">
        <v>45119</v>
      </c>
      <c r="D51" s="74"/>
      <c r="E51" s="71" t="s">
        <v>35</v>
      </c>
      <c r="F51" s="71"/>
      <c r="G51" s="71"/>
      <c r="H51" s="71"/>
    </row>
    <row r="52" spans="1:8" ht="23.65" customHeight="1" x14ac:dyDescent="0.25">
      <c r="A52" s="5" t="s">
        <v>28</v>
      </c>
      <c r="B52" s="5" t="s">
        <v>24</v>
      </c>
      <c r="C52" s="73">
        <v>44991</v>
      </c>
      <c r="D52" s="74"/>
      <c r="E52" s="71" t="s">
        <v>36</v>
      </c>
      <c r="F52" s="71"/>
      <c r="G52" s="71"/>
      <c r="H52" s="71"/>
    </row>
    <row r="53" spans="1:8" ht="21.6" customHeight="1" x14ac:dyDescent="0.25">
      <c r="A53" s="5" t="s">
        <v>27</v>
      </c>
      <c r="B53" s="5" t="s">
        <v>17</v>
      </c>
      <c r="C53" s="70">
        <v>44803</v>
      </c>
      <c r="D53" s="70"/>
      <c r="E53" s="71" t="s">
        <v>37</v>
      </c>
      <c r="F53" s="71"/>
      <c r="G53" s="71"/>
      <c r="H53" s="71"/>
    </row>
    <row r="54" spans="1:8" ht="38.65" customHeight="1" x14ac:dyDescent="0.25">
      <c r="A54" s="5" t="s">
        <v>26</v>
      </c>
      <c r="B54" s="5" t="s">
        <v>29</v>
      </c>
      <c r="C54" s="70">
        <v>44693</v>
      </c>
      <c r="D54" s="70"/>
      <c r="E54" s="71" t="s">
        <v>30</v>
      </c>
      <c r="F54" s="71"/>
      <c r="G54" s="71"/>
      <c r="H54" s="71"/>
    </row>
    <row r="55" spans="1:8" ht="12.6" customHeight="1" x14ac:dyDescent="0.25">
      <c r="A55" s="10"/>
      <c r="B55" s="10"/>
      <c r="C55" s="10"/>
      <c r="D55" s="10"/>
      <c r="E55" s="10"/>
      <c r="F55" s="12"/>
    </row>
    <row r="56" spans="1:8" ht="12.6" customHeight="1" x14ac:dyDescent="0.25">
      <c r="A56" s="6"/>
      <c r="B56" s="6"/>
      <c r="C56" s="6"/>
      <c r="D56" s="6"/>
      <c r="E56" s="6"/>
      <c r="F56" s="12"/>
    </row>
    <row r="57" spans="1:8" x14ac:dyDescent="0.25">
      <c r="B57" s="1"/>
    </row>
    <row r="58" spans="1:8" ht="13.15" customHeight="1" x14ac:dyDescent="0.25">
      <c r="B58" s="1"/>
    </row>
    <row r="59" spans="1:8" ht="35.65" customHeight="1" x14ac:dyDescent="0.25">
      <c r="B59" s="1"/>
    </row>
    <row r="60" spans="1:8" ht="61.15" customHeight="1" x14ac:dyDescent="0.25">
      <c r="B60" s="1"/>
    </row>
    <row r="61" spans="1:8" x14ac:dyDescent="0.25">
      <c r="B61" s="1"/>
    </row>
  </sheetData>
  <mergeCells count="138">
    <mergeCell ref="C54:D54"/>
    <mergeCell ref="E54:H54"/>
    <mergeCell ref="E43:H43"/>
    <mergeCell ref="C53:D53"/>
    <mergeCell ref="E53:H53"/>
    <mergeCell ref="E52:H52"/>
    <mergeCell ref="C52:D52"/>
    <mergeCell ref="C51:D51"/>
    <mergeCell ref="E51:H51"/>
    <mergeCell ref="C50:D50"/>
    <mergeCell ref="E50:H50"/>
    <mergeCell ref="C49:D49"/>
    <mergeCell ref="E49:H49"/>
    <mergeCell ref="C48:D48"/>
    <mergeCell ref="E48:H48"/>
    <mergeCell ref="C47:D47"/>
    <mergeCell ref="E47:H47"/>
    <mergeCell ref="C46:D46"/>
    <mergeCell ref="E46:H46"/>
    <mergeCell ref="C45:D45"/>
    <mergeCell ref="E45:H45"/>
    <mergeCell ref="E44:H44"/>
    <mergeCell ref="A7:D7"/>
    <mergeCell ref="E7:F7"/>
    <mergeCell ref="G7:H7"/>
    <mergeCell ref="G8:H8"/>
    <mergeCell ref="A8:D8"/>
    <mergeCell ref="E8:F8"/>
    <mergeCell ref="C43:D43"/>
    <mergeCell ref="A40:F40"/>
    <mergeCell ref="C29:D29"/>
    <mergeCell ref="C30:D30"/>
    <mergeCell ref="C31:D31"/>
    <mergeCell ref="C32:D32"/>
    <mergeCell ref="C33:D33"/>
    <mergeCell ref="C34:D34"/>
    <mergeCell ref="C35:D35"/>
    <mergeCell ref="E38:F38"/>
    <mergeCell ref="E33:F33"/>
    <mergeCell ref="E34:F34"/>
    <mergeCell ref="E35:F35"/>
    <mergeCell ref="E36:F36"/>
    <mergeCell ref="E37:F37"/>
    <mergeCell ref="A14:J14"/>
    <mergeCell ref="E15:F15"/>
    <mergeCell ref="E16:F16"/>
    <mergeCell ref="E17:F17"/>
    <mergeCell ref="E18:F18"/>
    <mergeCell ref="E19:F19"/>
    <mergeCell ref="G15:H15"/>
    <mergeCell ref="G16:H16"/>
    <mergeCell ref="G17:H17"/>
    <mergeCell ref="G18:H18"/>
    <mergeCell ref="G19:H19"/>
    <mergeCell ref="C15:D15"/>
    <mergeCell ref="C16:D16"/>
    <mergeCell ref="C17:D17"/>
    <mergeCell ref="C18:D18"/>
    <mergeCell ref="C19:D19"/>
    <mergeCell ref="A27:H27"/>
    <mergeCell ref="A28:B28"/>
    <mergeCell ref="E29:F29"/>
    <mergeCell ref="G29:H29"/>
    <mergeCell ref="E20:F20"/>
    <mergeCell ref="E21:F21"/>
    <mergeCell ref="A25:D25"/>
    <mergeCell ref="E22:F22"/>
    <mergeCell ref="E23:F23"/>
    <mergeCell ref="E24:F24"/>
    <mergeCell ref="C20:D20"/>
    <mergeCell ref="C21:D21"/>
    <mergeCell ref="C22:D22"/>
    <mergeCell ref="C23:D23"/>
    <mergeCell ref="C24:D24"/>
    <mergeCell ref="G20:H20"/>
    <mergeCell ref="G21:H21"/>
    <mergeCell ref="G22:H22"/>
    <mergeCell ref="G23:H23"/>
    <mergeCell ref="G24:H24"/>
    <mergeCell ref="G32:H32"/>
    <mergeCell ref="G33:H33"/>
    <mergeCell ref="G34:H34"/>
    <mergeCell ref="G35:H35"/>
    <mergeCell ref="G36:H36"/>
    <mergeCell ref="C36:D36"/>
    <mergeCell ref="C37:D37"/>
    <mergeCell ref="C38:D38"/>
    <mergeCell ref="G30:H30"/>
    <mergeCell ref="G31:H31"/>
    <mergeCell ref="E30:F30"/>
    <mergeCell ref="E31:F31"/>
    <mergeCell ref="E32:F32"/>
    <mergeCell ref="I4:P4"/>
    <mergeCell ref="I5:P5"/>
    <mergeCell ref="I6:P6"/>
    <mergeCell ref="A2:B2"/>
    <mergeCell ref="C2:D2"/>
    <mergeCell ref="I2:J2"/>
    <mergeCell ref="K2:L2"/>
    <mergeCell ref="M2:P2"/>
    <mergeCell ref="A3:D3"/>
    <mergeCell ref="E3:F3"/>
    <mergeCell ref="G3:H3"/>
    <mergeCell ref="G2:H2"/>
    <mergeCell ref="I3:P3"/>
    <mergeCell ref="A4:D4"/>
    <mergeCell ref="A5:D5"/>
    <mergeCell ref="E4:F4"/>
    <mergeCell ref="E5:F5"/>
    <mergeCell ref="G4:H4"/>
    <mergeCell ref="G5:H5"/>
    <mergeCell ref="A6:D6"/>
    <mergeCell ref="E6:F6"/>
    <mergeCell ref="G6:H6"/>
    <mergeCell ref="I7:P7"/>
    <mergeCell ref="I8:P8"/>
    <mergeCell ref="I9:P9"/>
    <mergeCell ref="I10:P10"/>
    <mergeCell ref="I11:P11"/>
    <mergeCell ref="I12:P12"/>
    <mergeCell ref="C44:D44"/>
    <mergeCell ref="A12:D12"/>
    <mergeCell ref="E12:F12"/>
    <mergeCell ref="G12:H12"/>
    <mergeCell ref="A9:D9"/>
    <mergeCell ref="E9:F9"/>
    <mergeCell ref="G9:H9"/>
    <mergeCell ref="A10:D10"/>
    <mergeCell ref="E10:F10"/>
    <mergeCell ref="G10:H10"/>
    <mergeCell ref="A11:D11"/>
    <mergeCell ref="E11:F11"/>
    <mergeCell ref="G11:H11"/>
    <mergeCell ref="G37:H37"/>
    <mergeCell ref="G38:H38"/>
    <mergeCell ref="G28:H28"/>
    <mergeCell ref="E28:F28"/>
    <mergeCell ref="C28:D28"/>
  </mergeCells>
  <phoneticPr fontId="14" type="noConversion"/>
  <conditionalFormatting sqref="C30:C38 E30:E38 G30:G38">
    <cfRule type="cellIs" dxfId="7" priority="48" stopIfTrue="1" operator="lessThan">
      <formula>-C$28</formula>
    </cfRule>
    <cfRule type="cellIs" dxfId="6" priority="50" stopIfTrue="1" operator="greaterThan">
      <formula>C$28</formula>
    </cfRule>
    <cfRule type="cellIs" dxfId="5" priority="64" stopIfTrue="1" operator="lessThan">
      <formula>-C$28</formula>
    </cfRule>
    <cfRule type="cellIs" dxfId="4" priority="66" stopIfTrue="1" operator="greaterThan">
      <formula>C$28</formula>
    </cfRule>
  </conditionalFormatting>
  <conditionalFormatting sqref="I30:J38">
    <cfRule type="cellIs" dxfId="3" priority="2" operator="between">
      <formula>0.07</formula>
      <formula>0.1</formula>
    </cfRule>
    <cfRule type="cellIs" dxfId="2" priority="3" operator="lessThan">
      <formula>-0.1</formula>
    </cfRule>
    <cfRule type="cellIs" dxfId="1" priority="4" operator="greaterThan">
      <formula>0.1</formula>
    </cfRule>
    <cfRule type="cellIs" dxfId="0" priority="5" operator="between">
      <formula>-0.07</formula>
      <formula>-0.1</formula>
    </cfRule>
  </conditionalFormatting>
  <pageMargins left="0.7" right="0.7" top="0.93333333333333335" bottom="1.3229166666666667" header="0.3" footer="0.3"/>
  <pageSetup scale="55" fitToHeight="0" orientation="portrait" r:id="rId1"/>
  <headerFooter>
    <oddHeader xml:space="preserve">&amp;LSpiTrex 3D
Template&amp;CDimension Measurement Template
CMD-C.L00.00.C "aprevo LLIF Implant" 
&amp;R&amp;K01+000No. F-825-247
Rev:M 
         Date:15sep2025
</oddHeader>
    <oddFooter>&amp;CFor Internal and Customer Use Only&amp;RCONFIDENTIAL</oddFooter>
  </headerFooter>
  <rowBreaks count="2" manualBreakCount="2">
    <brk id="41" max="16" man="1"/>
    <brk id="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1BA1-4F63-472A-B462-587D2C2D87E6}">
  <dimension ref="B2:J23"/>
  <sheetViews>
    <sheetView workbookViewId="0">
      <selection activeCell="D29" sqref="D29"/>
    </sheetView>
  </sheetViews>
  <sheetFormatPr defaultRowHeight="12.75" x14ac:dyDescent="0.2"/>
  <cols>
    <col min="2" max="2" width="18.7109375" style="15" customWidth="1"/>
    <col min="3" max="3" width="14.28515625" style="15" customWidth="1"/>
    <col min="4" max="4" width="14.5703125" style="15" customWidth="1"/>
    <col min="5" max="5" width="14.42578125" style="15" customWidth="1"/>
    <col min="10" max="10" width="8.7109375" style="15"/>
  </cols>
  <sheetData>
    <row r="2" spans="2:10" ht="25.5" x14ac:dyDescent="0.2">
      <c r="B2" s="7" t="s">
        <v>12</v>
      </c>
      <c r="C2" s="13" t="s">
        <v>13</v>
      </c>
      <c r="D2" s="13" t="s">
        <v>14</v>
      </c>
      <c r="E2" s="13" t="s">
        <v>15</v>
      </c>
      <c r="J2" s="14"/>
    </row>
    <row r="3" spans="2:10" x14ac:dyDescent="0.2">
      <c r="B3" s="7" t="s">
        <v>44</v>
      </c>
      <c r="C3" s="21"/>
      <c r="D3" s="21"/>
      <c r="E3" s="21"/>
    </row>
    <row r="4" spans="2:10" x14ac:dyDescent="0.2">
      <c r="B4" s="7" t="s">
        <v>45</v>
      </c>
      <c r="C4" s="21"/>
      <c r="D4" s="21"/>
      <c r="E4" s="21"/>
    </row>
    <row r="5" spans="2:10" x14ac:dyDescent="0.2">
      <c r="B5" s="7" t="s">
        <v>46</v>
      </c>
      <c r="C5" s="21"/>
      <c r="D5" s="21"/>
      <c r="E5" s="21"/>
    </row>
    <row r="6" spans="2:10" x14ac:dyDescent="0.2">
      <c r="B6" s="7" t="s">
        <v>47</v>
      </c>
      <c r="C6" s="21"/>
      <c r="D6" s="21"/>
      <c r="E6" s="21"/>
    </row>
    <row r="7" spans="2:10" x14ac:dyDescent="0.2">
      <c r="B7" s="7" t="s">
        <v>48</v>
      </c>
      <c r="C7" s="21"/>
      <c r="D7" s="21"/>
      <c r="E7" s="21"/>
    </row>
    <row r="8" spans="2:10" x14ac:dyDescent="0.2">
      <c r="B8" s="7" t="s">
        <v>49</v>
      </c>
      <c r="C8" s="21"/>
      <c r="D8" s="21"/>
      <c r="E8" s="21"/>
    </row>
    <row r="9" spans="2:10" x14ac:dyDescent="0.2">
      <c r="B9" s="7" t="s">
        <v>50</v>
      </c>
      <c r="C9" s="21"/>
      <c r="D9" s="21"/>
      <c r="E9" s="21"/>
    </row>
    <row r="10" spans="2:10" x14ac:dyDescent="0.2">
      <c r="B10" s="7" t="s">
        <v>51</v>
      </c>
      <c r="C10" s="21"/>
      <c r="D10" s="21"/>
      <c r="E10" s="21"/>
    </row>
    <row r="11" spans="2:10" x14ac:dyDescent="0.2">
      <c r="B11" s="7" t="s">
        <v>52</v>
      </c>
      <c r="C11" s="21"/>
      <c r="D11" s="21"/>
      <c r="E11" s="21"/>
    </row>
    <row r="12" spans="2:10" x14ac:dyDescent="0.2">
      <c r="B12" s="7" t="s">
        <v>53</v>
      </c>
      <c r="C12" s="21"/>
      <c r="D12" s="21"/>
      <c r="E12" s="21"/>
    </row>
    <row r="13" spans="2:10" x14ac:dyDescent="0.2">
      <c r="B13" s="7" t="s">
        <v>54</v>
      </c>
      <c r="C13" s="21"/>
      <c r="D13" s="21"/>
      <c r="E13" s="21"/>
    </row>
    <row r="14" spans="2:10" x14ac:dyDescent="0.2">
      <c r="B14" s="7" t="s">
        <v>55</v>
      </c>
      <c r="C14" s="21"/>
      <c r="D14" s="21"/>
      <c r="E14" s="21"/>
    </row>
    <row r="15" spans="2:10" x14ac:dyDescent="0.2">
      <c r="B15" s="7" t="s">
        <v>56</v>
      </c>
      <c r="C15" s="21"/>
      <c r="D15" s="21"/>
      <c r="E15" s="21"/>
    </row>
    <row r="16" spans="2:10" x14ac:dyDescent="0.2">
      <c r="B16" s="7" t="s">
        <v>57</v>
      </c>
      <c r="C16" s="21"/>
      <c r="D16" s="21"/>
      <c r="E16" s="21"/>
    </row>
    <row r="17" spans="2:5" x14ac:dyDescent="0.2">
      <c r="B17" s="7" t="s">
        <v>58</v>
      </c>
      <c r="C17" s="21"/>
      <c r="D17" s="21"/>
      <c r="E17" s="21"/>
    </row>
    <row r="18" spans="2:5" x14ac:dyDescent="0.2">
      <c r="B18" s="7" t="s">
        <v>59</v>
      </c>
      <c r="C18" s="21"/>
      <c r="D18" s="21"/>
      <c r="E18" s="21"/>
    </row>
    <row r="19" spans="2:5" x14ac:dyDescent="0.2">
      <c r="B19" s="7" t="s">
        <v>60</v>
      </c>
      <c r="C19" s="21"/>
      <c r="D19" s="21"/>
      <c r="E19" s="21"/>
    </row>
    <row r="20" spans="2:5" x14ac:dyDescent="0.2">
      <c r="B20" s="7" t="s">
        <v>61</v>
      </c>
      <c r="C20" s="21"/>
      <c r="D20" s="21"/>
      <c r="E20" s="21"/>
    </row>
    <row r="21" spans="2:5" x14ac:dyDescent="0.2">
      <c r="B21" s="7" t="s">
        <v>62</v>
      </c>
      <c r="C21" s="21"/>
      <c r="D21" s="21"/>
      <c r="E21" s="21"/>
    </row>
    <row r="22" spans="2:5" x14ac:dyDescent="0.2">
      <c r="B22" s="7" t="s">
        <v>63</v>
      </c>
      <c r="C22" s="21"/>
      <c r="D22" s="21"/>
      <c r="E22" s="21"/>
    </row>
    <row r="23" spans="2:5" x14ac:dyDescent="0.2">
      <c r="B23" s="7" t="s">
        <v>64</v>
      </c>
      <c r="C23" s="21"/>
      <c r="D23" s="21"/>
      <c r="E23" s="21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 Entry</vt:lpstr>
      <vt:lpstr>Conv Tables</vt:lpstr>
      <vt:lpstr>'Data Entry'!_Hlk32994821</vt:lpstr>
      <vt:lpstr>'Data Entry'!Print_Area</vt:lpstr>
    </vt:vector>
  </TitlesOfParts>
  <Company>Additive Innovations,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Yang</dc:creator>
  <cp:lastModifiedBy>Pierre Penaloza</cp:lastModifiedBy>
  <cp:lastPrinted>2025-11-04T21:05:43Z</cp:lastPrinted>
  <dcterms:created xsi:type="dcterms:W3CDTF">2006-01-23T19:37:33Z</dcterms:created>
  <dcterms:modified xsi:type="dcterms:W3CDTF">2025-11-04T21:56:34Z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TC101514341033</vt:lpwstr>
  </property>
</Properties>
</file>